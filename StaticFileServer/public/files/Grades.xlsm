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xWindow="240" yWindow="240" windowWidth="25360" windowHeight="1724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9" i="1" l="1"/>
  <c r="V9" i="1"/>
  <c r="W9" i="1"/>
  <c r="Q9" i="1"/>
  <c r="X9" i="1"/>
  <c r="S9" i="1"/>
  <c r="U11" i="1"/>
  <c r="V11" i="1"/>
  <c r="W11" i="1"/>
  <c r="Q11" i="1"/>
  <c r="X11" i="1"/>
  <c r="S11" i="1"/>
  <c r="U6" i="1"/>
  <c r="V6" i="1"/>
  <c r="W6" i="1"/>
  <c r="Q6" i="1"/>
  <c r="X6" i="1"/>
  <c r="S6" i="1"/>
  <c r="U4" i="1"/>
  <c r="V4" i="1"/>
  <c r="W4" i="1"/>
  <c r="Q4" i="1"/>
  <c r="X4" i="1"/>
  <c r="S4" i="1"/>
  <c r="U3" i="1"/>
  <c r="V3" i="1"/>
  <c r="W3" i="1"/>
  <c r="Q3" i="1"/>
  <c r="X3" i="1"/>
  <c r="S3" i="1"/>
  <c r="U5" i="1"/>
  <c r="V5" i="1"/>
  <c r="W5" i="1"/>
  <c r="Q5" i="1"/>
  <c r="X5" i="1"/>
  <c r="S5" i="1"/>
  <c r="U7" i="1"/>
  <c r="V7" i="1"/>
  <c r="W7" i="1"/>
  <c r="Q7" i="1"/>
  <c r="X7" i="1"/>
  <c r="S7" i="1"/>
  <c r="U8" i="1"/>
  <c r="V8" i="1"/>
  <c r="W8" i="1"/>
  <c r="Q8" i="1"/>
  <c r="X8" i="1"/>
  <c r="S8" i="1"/>
  <c r="U12" i="1"/>
  <c r="V12" i="1"/>
  <c r="W12" i="1"/>
  <c r="Q12" i="1"/>
  <c r="X12" i="1"/>
  <c r="S12" i="1"/>
  <c r="U10" i="1"/>
  <c r="V10" i="1"/>
  <c r="W10" i="1"/>
  <c r="Q10" i="1"/>
  <c r="X10" i="1"/>
  <c r="S10" i="1"/>
  <c r="R9" i="1"/>
  <c r="R11" i="1"/>
  <c r="R6" i="1"/>
  <c r="R4" i="1"/>
  <c r="R3" i="1"/>
  <c r="R5" i="1"/>
  <c r="R7" i="1"/>
  <c r="R8" i="1"/>
  <c r="R12" i="1"/>
  <c r="R10" i="1"/>
  <c r="Y9" i="1"/>
  <c r="Y11" i="1"/>
  <c r="Y6" i="1"/>
  <c r="Y4" i="1"/>
  <c r="Y3" i="1"/>
  <c r="Y5" i="1"/>
  <c r="Y7" i="1"/>
  <c r="Y8" i="1"/>
  <c r="Y12" i="1"/>
  <c r="Y10" i="1"/>
  <c r="U14" i="1"/>
  <c r="V14" i="1"/>
  <c r="W14" i="1"/>
  <c r="Q14" i="1"/>
  <c r="P9" i="1"/>
  <c r="P11" i="1"/>
  <c r="P6" i="1"/>
  <c r="P4" i="1"/>
  <c r="P3" i="1"/>
  <c r="P5" i="1"/>
  <c r="P7" i="1"/>
  <c r="P8" i="1"/>
  <c r="P12" i="1"/>
  <c r="P14" i="1"/>
  <c r="P10" i="1"/>
  <c r="O9" i="1"/>
  <c r="O11" i="1"/>
  <c r="O6" i="1"/>
  <c r="O4" i="1"/>
  <c r="O3" i="1"/>
  <c r="O5" i="1"/>
  <c r="O7" i="1"/>
  <c r="O8" i="1"/>
  <c r="O12" i="1"/>
  <c r="O14" i="1"/>
  <c r="O10" i="1"/>
  <c r="N14" i="1"/>
  <c r="N12" i="1"/>
  <c r="N8" i="1"/>
  <c r="N7" i="1"/>
  <c r="N5" i="1"/>
  <c r="N3" i="1"/>
  <c r="N4" i="1"/>
  <c r="N6" i="1"/>
  <c r="N11" i="1"/>
  <c r="N9" i="1"/>
  <c r="N10" i="1"/>
</calcChain>
</file>

<file path=xl/sharedStrings.xml><?xml version="1.0" encoding="utf-8"?>
<sst xmlns="http://schemas.openxmlformats.org/spreadsheetml/2006/main" count="27" uniqueCount="24">
  <si>
    <t>Students</t>
  </si>
  <si>
    <t>ID</t>
  </si>
  <si>
    <t>FALL 2013</t>
  </si>
  <si>
    <t>HOMEWORK</t>
  </si>
  <si>
    <t>Quizzes</t>
  </si>
  <si>
    <t>Tests</t>
  </si>
  <si>
    <t>HMWK</t>
  </si>
  <si>
    <t>QUIZ</t>
  </si>
  <si>
    <t>TEST</t>
  </si>
  <si>
    <t>CUM</t>
  </si>
  <si>
    <t>GRADE</t>
  </si>
  <si>
    <t>Fnl</t>
  </si>
  <si>
    <t>Jean, Norma</t>
  </si>
  <si>
    <t>Roosevelt, Theodore</t>
  </si>
  <si>
    <t>Fawkes, Guy</t>
  </si>
  <si>
    <t>Smith, Adam</t>
  </si>
  <si>
    <t>Curie, Marie</t>
  </si>
  <si>
    <t>Turing, Alan</t>
  </si>
  <si>
    <t>Pascal, Blaise</t>
  </si>
  <si>
    <t>Wythe, George</t>
  </si>
  <si>
    <t>Bacon, Francis</t>
  </si>
  <si>
    <t>Possible Points</t>
  </si>
  <si>
    <t>Fibonacci, Leonardo</t>
  </si>
  <si>
    <t>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</si>
</sst>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%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Font="1" applyBorder="1"/>
    <xf numFmtId="0" fontId="0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/>
    <xf numFmtId="0" fontId="0" fillId="0" borderId="0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Fill="1" applyBorder="1"/>
    <xf numFmtId="0" fontId="0" fillId="0" borderId="9" xfId="0" applyFont="1" applyBorder="1"/>
    <xf numFmtId="165" fontId="0" fillId="0" borderId="6" xfId="0" applyNumberFormat="1" applyBorder="1"/>
    <xf numFmtId="165" fontId="0" fillId="0" borderId="3" xfId="0" applyNumberFormat="1" applyBorder="1"/>
    <xf numFmtId="165" fontId="0" fillId="0" borderId="0" xfId="0" applyNumberFormat="1" applyBorder="1"/>
    <xf numFmtId="165" fontId="0" fillId="0" borderId="1" xfId="0" applyNumberFormat="1" applyBorder="1"/>
    <xf numFmtId="0" fontId="0" fillId="0" borderId="6" xfId="0" applyFill="1" applyBorder="1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14"/>
  <sheetViews>
    <sheetView tabSelected="1" workbookViewId="0">
      <pane ySplit="2" topLeftCell="A3" activePane="bottomLeft" state="frozen"/>
      <selection pane="bottomLeft" activeCell="A16" sqref="A16"/>
    </sheetView>
  </sheetViews>
  <sheetFormatPr baseColWidth="10" defaultRowHeight="15" x14ac:dyDescent="0"/>
  <cols>
    <col min="1" max="1" width="18.1640625" customWidth="1"/>
    <col min="2" max="2" width="8.1640625" customWidth="1"/>
    <col min="3" max="10" width="3.6640625" customWidth="1"/>
    <col min="11" max="13" width="4.1640625" customWidth="1"/>
    <col min="18" max="19" width="5" customWidth="1"/>
  </cols>
  <sheetData>
    <row r="1" spans="1:25" s="1" customFormat="1">
      <c r="A1" s="1" t="s">
        <v>2</v>
      </c>
      <c r="C1" s="1" t="s">
        <v>3</v>
      </c>
      <c r="H1" s="1" t="s">
        <v>4</v>
      </c>
      <c r="K1" s="1" t="s">
        <v>5</v>
      </c>
      <c r="U1" s="17"/>
      <c r="V1" s="18"/>
      <c r="W1" s="18"/>
      <c r="X1" s="18"/>
      <c r="Y1" s="19"/>
    </row>
    <row r="2" spans="1:25" s="1" customFormat="1">
      <c r="A2" s="2" t="s">
        <v>0</v>
      </c>
      <c r="B2" s="2" t="s">
        <v>1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1</v>
      </c>
      <c r="I2" s="2">
        <v>2</v>
      </c>
      <c r="J2" s="2">
        <v>3</v>
      </c>
      <c r="K2" s="2">
        <v>1</v>
      </c>
      <c r="L2" s="2">
        <v>2</v>
      </c>
      <c r="M2" s="2" t="s">
        <v>11</v>
      </c>
      <c r="N2" s="1" t="s">
        <v>6</v>
      </c>
      <c r="O2" s="1" t="s">
        <v>7</v>
      </c>
      <c r="P2" s="1" t="s">
        <v>8</v>
      </c>
      <c r="Q2" s="1" t="s">
        <v>9</v>
      </c>
      <c r="R2" s="1" t="s">
        <v>10</v>
      </c>
      <c r="U2" s="20" t="s">
        <v>6</v>
      </c>
      <c r="V2" s="16" t="s">
        <v>7</v>
      </c>
      <c r="W2" s="16" t="s">
        <v>8</v>
      </c>
      <c r="X2" s="16" t="s">
        <v>23</v>
      </c>
      <c r="Y2" s="21"/>
    </row>
    <row r="3" spans="1:25">
      <c r="A3" s="7" t="s">
        <v>17</v>
      </c>
      <c r="B3" s="8">
        <v>1932</v>
      </c>
      <c r="C3" s="8">
        <v>20</v>
      </c>
      <c r="D3" s="8">
        <v>19</v>
      </c>
      <c r="E3" s="26">
        <v>20</v>
      </c>
      <c r="F3" s="26">
        <v>20</v>
      </c>
      <c r="G3" s="26">
        <v>20</v>
      </c>
      <c r="H3" s="26">
        <v>50</v>
      </c>
      <c r="I3" s="26">
        <v>50</v>
      </c>
      <c r="J3" s="26">
        <v>50</v>
      </c>
      <c r="K3" s="26">
        <v>100</v>
      </c>
      <c r="L3" s="26">
        <v>100</v>
      </c>
      <c r="M3" s="26">
        <v>200</v>
      </c>
      <c r="N3" s="22">
        <f>U3/$U$14</f>
        <v>0.99</v>
      </c>
      <c r="O3" s="22">
        <f>V3/$V$14</f>
        <v>1</v>
      </c>
      <c r="P3" s="22">
        <f>W3/$W$14</f>
        <v>1</v>
      </c>
      <c r="Q3" s="22">
        <f>(U3/$U$14*0.2)+(V3/$V$14*0.3)+(W3/$W$14*0.5)</f>
        <v>0.998</v>
      </c>
      <c r="R3" s="8" t="str">
        <f>CHOOSE((X3+1),"  E","  E","  D-","  D","  D+","  C-","  C","  C+","  B-","  B","  B+","  A-","  A","  A+")</f>
        <v xml:space="preserve">  A+</v>
      </c>
      <c r="S3" s="9" t="str">
        <f>CHOOSE((X3+1)," 0.0"," 0.0"," 0.7"," 1.0"," 1.3"," 1.7"," 2.0"," 2.3"," 2.7"," 3.0"," 3.3"," 3.7"," 4.0"," 4.0")</f>
        <v xml:space="preserve"> 4.0</v>
      </c>
      <c r="U3" s="10">
        <f>SUM(C3:G3)</f>
        <v>99</v>
      </c>
      <c r="V3" s="11">
        <f>SUM(H3:J3)</f>
        <v>150</v>
      </c>
      <c r="W3" s="12">
        <f>SUM(K3:M3)</f>
        <v>400</v>
      </c>
      <c r="X3" s="11">
        <f>INT((Q3*100-60)/3.33333333+2)</f>
        <v>13</v>
      </c>
      <c r="Y3" s="12">
        <f>INT((Q3*100-60)/3.33333333+2)</f>
        <v>13</v>
      </c>
    </row>
    <row r="4" spans="1:25">
      <c r="A4" s="10" t="s">
        <v>16</v>
      </c>
      <c r="B4" s="11">
        <v>3857</v>
      </c>
      <c r="C4" s="15">
        <v>19</v>
      </c>
      <c r="D4" s="15">
        <v>20</v>
      </c>
      <c r="E4" s="15">
        <v>20</v>
      </c>
      <c r="F4" s="15">
        <v>20</v>
      </c>
      <c r="G4" s="15">
        <v>20</v>
      </c>
      <c r="H4" s="15">
        <v>50</v>
      </c>
      <c r="I4" s="15">
        <v>50</v>
      </c>
      <c r="J4" s="15">
        <v>50</v>
      </c>
      <c r="K4" s="15">
        <v>100</v>
      </c>
      <c r="L4" s="15">
        <v>100</v>
      </c>
      <c r="M4" s="15">
        <v>200</v>
      </c>
      <c r="N4" s="24">
        <f>U4/$U$14</f>
        <v>0.99</v>
      </c>
      <c r="O4" s="24">
        <f>V4/$V$14</f>
        <v>1</v>
      </c>
      <c r="P4" s="24">
        <f>W4/$W$14</f>
        <v>1</v>
      </c>
      <c r="Q4" s="24">
        <f>(U4/$U$14*0.2)+(V4/$V$14*0.3)+(W4/$W$14*0.5)</f>
        <v>0.998</v>
      </c>
      <c r="R4" s="11" t="str">
        <f>CHOOSE((X4+1),"  E","  E","  D-","  D","  D+","  C-","  C","  C+","  B-","  B","  B+","  A-","  A","  A+")</f>
        <v xml:space="preserve">  A+</v>
      </c>
      <c r="S4" s="12" t="str">
        <f>CHOOSE((X4+1)," 0.0"," 0.0"," 0.7"," 1.0"," 1.3"," 1.7"," 2.0"," 2.3"," 2.7"," 3.0"," 3.3"," 3.7"," 4.0"," 4.0")</f>
        <v xml:space="preserve"> 4.0</v>
      </c>
      <c r="U4" s="10">
        <f>SUM(C4:G4)</f>
        <v>99</v>
      </c>
      <c r="V4" s="11">
        <f>SUM(H4:J4)</f>
        <v>150</v>
      </c>
      <c r="W4" s="12">
        <f>SUM(K4:M4)</f>
        <v>400</v>
      </c>
      <c r="X4" s="11">
        <f>INT((Q4*100-60)/3.33333333+2)</f>
        <v>13</v>
      </c>
      <c r="Y4" s="12">
        <f>INT((Q4*100-60)/3.33333333+2)</f>
        <v>13</v>
      </c>
    </row>
    <row r="5" spans="1:25">
      <c r="A5" s="10" t="s">
        <v>18</v>
      </c>
      <c r="B5" s="11">
        <v>9382</v>
      </c>
      <c r="C5" s="15">
        <v>20</v>
      </c>
      <c r="D5" s="15">
        <v>20</v>
      </c>
      <c r="E5" s="15">
        <v>19</v>
      </c>
      <c r="F5" s="15">
        <v>20</v>
      </c>
      <c r="G5" s="15">
        <v>20</v>
      </c>
      <c r="H5" s="15">
        <v>49</v>
      </c>
      <c r="I5" s="15">
        <v>49</v>
      </c>
      <c r="J5" s="15">
        <v>50</v>
      </c>
      <c r="K5" s="15">
        <v>99</v>
      </c>
      <c r="L5" s="15">
        <v>99</v>
      </c>
      <c r="M5" s="15">
        <v>200</v>
      </c>
      <c r="N5" s="24">
        <f>U5/$U$14</f>
        <v>0.99</v>
      </c>
      <c r="O5" s="24">
        <f>V5/$V$14</f>
        <v>0.98666666666666669</v>
      </c>
      <c r="P5" s="24">
        <f>W5/$W$14</f>
        <v>0.995</v>
      </c>
      <c r="Q5" s="24">
        <f>(U5/$U$14*0.2)+(V5/$V$14*0.3)+(W5/$W$14*0.5)</f>
        <v>0.99150000000000005</v>
      </c>
      <c r="R5" s="11" t="str">
        <f>CHOOSE((X5+1),"  E","  E","  D-","  D","  D+","  C-","  C","  C+","  B-","  B","  B+","  A-","  A","  A+")</f>
        <v xml:space="preserve">  A+</v>
      </c>
      <c r="S5" s="12" t="str">
        <f>CHOOSE((X5+1)," 0.0"," 0.0"," 0.7"," 1.0"," 1.3"," 1.7"," 2.0"," 2.3"," 2.7"," 3.0"," 3.3"," 3.7"," 4.0"," 4.0")</f>
        <v xml:space="preserve"> 4.0</v>
      </c>
      <c r="U5" s="10">
        <f>SUM(C5:G5)</f>
        <v>99</v>
      </c>
      <c r="V5" s="11">
        <f>SUM(H5:J5)</f>
        <v>148</v>
      </c>
      <c r="W5" s="12">
        <f>SUM(K5:M5)</f>
        <v>398</v>
      </c>
      <c r="X5" s="11">
        <f>INT((Q5*100-60)/3.33333333+2)</f>
        <v>13</v>
      </c>
      <c r="Y5" s="12">
        <f>INT((Q5*100-60)/3.33333333+2)</f>
        <v>13</v>
      </c>
    </row>
    <row r="6" spans="1:25">
      <c r="A6" s="10" t="s">
        <v>15</v>
      </c>
      <c r="B6" s="11">
        <v>2256</v>
      </c>
      <c r="C6" s="15">
        <v>19</v>
      </c>
      <c r="D6" s="15">
        <v>19</v>
      </c>
      <c r="E6" s="15">
        <v>19</v>
      </c>
      <c r="F6" s="15">
        <v>19</v>
      </c>
      <c r="G6" s="15">
        <v>19</v>
      </c>
      <c r="H6" s="15">
        <v>48</v>
      </c>
      <c r="I6" s="15">
        <v>48</v>
      </c>
      <c r="J6" s="15">
        <v>48</v>
      </c>
      <c r="K6" s="15">
        <v>95</v>
      </c>
      <c r="L6" s="15">
        <v>95</v>
      </c>
      <c r="M6" s="15">
        <v>190</v>
      </c>
      <c r="N6" s="24">
        <f>U6/$U$14</f>
        <v>0.95</v>
      </c>
      <c r="O6" s="24">
        <f>V6/$V$14</f>
        <v>0.96</v>
      </c>
      <c r="P6" s="24">
        <f>W6/$W$14</f>
        <v>0.95</v>
      </c>
      <c r="Q6" s="24">
        <f>(U6/$U$14*0.2)+(V6/$V$14*0.3)+(W6/$W$14*0.5)</f>
        <v>0.95299999999999996</v>
      </c>
      <c r="R6" s="11" t="str">
        <f>CHOOSE((X6+1),"  E","  E","  D-","  D","  D+","  C-","  C","  C+","  B-","  B","  B+","  A-","  A","  A+")</f>
        <v xml:space="preserve">  A</v>
      </c>
      <c r="S6" s="12" t="str">
        <f>CHOOSE((X6+1)," 0.0"," 0.0"," 0.7"," 1.0"," 1.3"," 1.7"," 2.0"," 2.3"," 2.7"," 3.0"," 3.3"," 3.7"," 4.0"," 4.0")</f>
        <v xml:space="preserve"> 4.0</v>
      </c>
      <c r="U6" s="10">
        <f>SUM(C6:G6)</f>
        <v>95</v>
      </c>
      <c r="V6" s="11">
        <f>SUM(H6:J6)</f>
        <v>144</v>
      </c>
      <c r="W6" s="12">
        <f>SUM(K6:M6)</f>
        <v>380</v>
      </c>
      <c r="X6" s="11">
        <f>INT((Q6*100-60)/3.33333333+2)</f>
        <v>12</v>
      </c>
      <c r="Y6" s="12">
        <f>INT((Q6*100-60)/3.33333333+2)</f>
        <v>12</v>
      </c>
    </row>
    <row r="7" spans="1:25">
      <c r="A7" s="10" t="s">
        <v>19</v>
      </c>
      <c r="B7" s="11">
        <v>6584</v>
      </c>
      <c r="C7" s="15">
        <v>15</v>
      </c>
      <c r="D7" s="15">
        <v>18</v>
      </c>
      <c r="E7" s="15">
        <v>17</v>
      </c>
      <c r="F7" s="15">
        <v>20</v>
      </c>
      <c r="G7" s="15">
        <v>18</v>
      </c>
      <c r="H7" s="15">
        <v>45</v>
      </c>
      <c r="I7" s="15">
        <v>42</v>
      </c>
      <c r="J7" s="15">
        <v>48</v>
      </c>
      <c r="K7" s="15">
        <v>88</v>
      </c>
      <c r="L7" s="15">
        <v>92</v>
      </c>
      <c r="M7" s="15">
        <v>194</v>
      </c>
      <c r="N7" s="24">
        <f>U7/$U$14</f>
        <v>0.88</v>
      </c>
      <c r="O7" s="24">
        <f>V7/$V$14</f>
        <v>0.9</v>
      </c>
      <c r="P7" s="24">
        <f>W7/$W$14</f>
        <v>0.93500000000000005</v>
      </c>
      <c r="Q7" s="24">
        <f>(U7/$U$14*0.2)+(V7/$V$14*0.3)+(W7/$W$14*0.5)</f>
        <v>0.91350000000000009</v>
      </c>
      <c r="R7" s="11" t="str">
        <f>CHOOSE((X7+1),"  E","  E","  D-","  D","  D+","  C-","  C","  C+","  B-","  B","  B+","  A-","  A","  A+")</f>
        <v xml:space="preserve">  A-</v>
      </c>
      <c r="S7" s="12" t="str">
        <f>CHOOSE((X7+1)," 0.0"," 0.0"," 0.7"," 1.0"," 1.3"," 1.7"," 2.0"," 2.3"," 2.7"," 3.0"," 3.3"," 3.7"," 4.0"," 4.0")</f>
        <v xml:space="preserve"> 3.7</v>
      </c>
      <c r="U7" s="10">
        <f>SUM(C7:G7)</f>
        <v>88</v>
      </c>
      <c r="V7" s="11">
        <f>SUM(H7:J7)</f>
        <v>135</v>
      </c>
      <c r="W7" s="12">
        <f>SUM(K7:M7)</f>
        <v>374</v>
      </c>
      <c r="X7" s="11">
        <f>INT((Q7*100-60)/3.33333333+2)</f>
        <v>11</v>
      </c>
      <c r="Y7" s="12">
        <f>INT((Q7*100-60)/3.33333333+2)</f>
        <v>11</v>
      </c>
    </row>
    <row r="8" spans="1:25">
      <c r="A8" s="10" t="s">
        <v>20</v>
      </c>
      <c r="B8" s="11">
        <v>4494</v>
      </c>
      <c r="C8" s="15">
        <v>12</v>
      </c>
      <c r="D8" s="15">
        <v>17</v>
      </c>
      <c r="E8" s="15">
        <v>17</v>
      </c>
      <c r="F8" s="15">
        <v>19</v>
      </c>
      <c r="G8" s="15">
        <v>20</v>
      </c>
      <c r="H8" s="15">
        <v>40</v>
      </c>
      <c r="I8" s="15">
        <v>46</v>
      </c>
      <c r="J8" s="15">
        <v>47</v>
      </c>
      <c r="K8" s="15">
        <v>90</v>
      </c>
      <c r="L8" s="15">
        <v>93</v>
      </c>
      <c r="M8" s="15">
        <v>187</v>
      </c>
      <c r="N8" s="24">
        <f>U8/$U$14</f>
        <v>0.85</v>
      </c>
      <c r="O8" s="24">
        <f>V8/$V$14</f>
        <v>0.88666666666666671</v>
      </c>
      <c r="P8" s="24">
        <f>W8/$W$14</f>
        <v>0.92500000000000004</v>
      </c>
      <c r="Q8" s="24">
        <f>(U8/$U$14*0.2)+(V8/$V$14*0.3)+(W8/$W$14*0.5)</f>
        <v>0.89850000000000008</v>
      </c>
      <c r="R8" s="11" t="str">
        <f>CHOOSE((X8+1),"  E","  E","  D-","  D","  D+","  C-","  C","  C+","  B-","  B","  B+","  A-","  A","  A+")</f>
        <v xml:space="preserve">  B+</v>
      </c>
      <c r="S8" s="12" t="str">
        <f>CHOOSE((X8+1)," 0.0"," 0.0"," 0.7"," 1.0"," 1.3"," 1.7"," 2.0"," 2.3"," 2.7"," 3.0"," 3.3"," 3.7"," 4.0"," 4.0")</f>
        <v xml:space="preserve"> 3.3</v>
      </c>
      <c r="U8" s="10">
        <f>SUM(C8:G8)</f>
        <v>85</v>
      </c>
      <c r="V8" s="11">
        <f>SUM(H8:J8)</f>
        <v>133</v>
      </c>
      <c r="W8" s="12">
        <f>SUM(K8:M8)</f>
        <v>370</v>
      </c>
      <c r="X8" s="11">
        <f>INT((Q8*100-60)/3.33333333+2)</f>
        <v>10</v>
      </c>
      <c r="Y8" s="12">
        <f>INT((Q8*100-60)/3.33333333+2)</f>
        <v>10</v>
      </c>
    </row>
    <row r="9" spans="1:25">
      <c r="A9" s="10" t="s">
        <v>13</v>
      </c>
      <c r="B9" s="11">
        <v>4309</v>
      </c>
      <c r="C9" s="11">
        <v>12</v>
      </c>
      <c r="D9" s="11">
        <v>15</v>
      </c>
      <c r="E9" s="15">
        <v>16</v>
      </c>
      <c r="F9" s="15">
        <v>13</v>
      </c>
      <c r="G9" s="15">
        <v>17</v>
      </c>
      <c r="H9" s="15">
        <v>49</v>
      </c>
      <c r="I9" s="15">
        <v>45</v>
      </c>
      <c r="J9" s="15">
        <v>44</v>
      </c>
      <c r="K9" s="15">
        <v>99</v>
      </c>
      <c r="L9" s="15">
        <v>92</v>
      </c>
      <c r="M9" s="15">
        <v>189</v>
      </c>
      <c r="N9" s="24">
        <f>U9/$U$14</f>
        <v>0.73</v>
      </c>
      <c r="O9" s="24">
        <f>V9/$V$14</f>
        <v>0.92</v>
      </c>
      <c r="P9" s="24">
        <f>W9/$W$14</f>
        <v>0.95</v>
      </c>
      <c r="Q9" s="24">
        <f>(U9/$U$14*0.2)+(V9/$V$14*0.3)+(W9/$W$14*0.5)</f>
        <v>0.89700000000000002</v>
      </c>
      <c r="R9" s="11" t="str">
        <f>CHOOSE((X9+1),"  E","  E","  D-","  D","  D+","  C-","  C","  C+","  B-","  B","  B+","  A-","  A","  A+")</f>
        <v xml:space="preserve">  B+</v>
      </c>
      <c r="S9" s="12" t="str">
        <f>CHOOSE((X9+1)," 0.0"," 0.0"," 0.7"," 1.0"," 1.3"," 1.7"," 2.0"," 2.3"," 2.7"," 3.0"," 3.3"," 3.7"," 4.0"," 4.0")</f>
        <v xml:space="preserve"> 3.3</v>
      </c>
      <c r="U9" s="10">
        <f>SUM(C9:G9)</f>
        <v>73</v>
      </c>
      <c r="V9" s="11">
        <f>SUM(H9:J9)</f>
        <v>138</v>
      </c>
      <c r="W9" s="12">
        <f>SUM(K9:M9)</f>
        <v>380</v>
      </c>
      <c r="X9" s="11">
        <f>INT((Q9*100-60)/3.33333333+2)</f>
        <v>10</v>
      </c>
      <c r="Y9" s="12">
        <f>INT((Q9*100-60)/3.33333333+2)</f>
        <v>10</v>
      </c>
    </row>
    <row r="10" spans="1:25">
      <c r="A10" s="10" t="s">
        <v>12</v>
      </c>
      <c r="B10" s="11">
        <v>1583</v>
      </c>
      <c r="C10" s="11">
        <v>18</v>
      </c>
      <c r="D10" s="11">
        <v>13</v>
      </c>
      <c r="E10" s="11">
        <v>9</v>
      </c>
      <c r="F10" s="11">
        <v>17</v>
      </c>
      <c r="G10" s="11">
        <v>20</v>
      </c>
      <c r="H10" s="11">
        <v>39</v>
      </c>
      <c r="I10" s="11">
        <v>46</v>
      </c>
      <c r="J10" s="11">
        <v>47</v>
      </c>
      <c r="K10" s="11">
        <v>79</v>
      </c>
      <c r="L10" s="11">
        <v>80</v>
      </c>
      <c r="M10" s="11">
        <v>170</v>
      </c>
      <c r="N10" s="24">
        <f>U10/$U$14</f>
        <v>0.77</v>
      </c>
      <c r="O10" s="24">
        <f>V10/$V$14</f>
        <v>0.88</v>
      </c>
      <c r="P10" s="24">
        <f>W10/$W$14</f>
        <v>0.82250000000000001</v>
      </c>
      <c r="Q10" s="24">
        <f>(U10/$U$14*0.2)+(V10/$V$14*0.3)+(W10/$W$14*0.5)</f>
        <v>0.82925000000000004</v>
      </c>
      <c r="R10" s="11" t="str">
        <f>CHOOSE((X10+1),"  E","  E","  D-","  D","  D+","  C-","  C","  C+","  B-","  B","  B+","  A-","  A","  A+")</f>
        <v xml:space="preserve">  B-</v>
      </c>
      <c r="S10" s="12" t="str">
        <f>CHOOSE((X10+1)," 0.0"," 0.0"," 0.7"," 1.0"," 1.3"," 1.7"," 2.0"," 2.3"," 2.7"," 3.0"," 3.3"," 3.7"," 4.0"," 4.0")</f>
        <v xml:space="preserve"> 2.7</v>
      </c>
      <c r="U10" s="10">
        <f>SUM(C10:G10)</f>
        <v>77</v>
      </c>
      <c r="V10" s="11">
        <f>SUM(H10:J10)</f>
        <v>132</v>
      </c>
      <c r="W10" s="12">
        <f>SUM(K10:M10)</f>
        <v>329</v>
      </c>
      <c r="X10" s="11">
        <f>INT((Q10*100-60)/3.33333333+2)</f>
        <v>8</v>
      </c>
      <c r="Y10" s="12">
        <f>INT((Q10*100-60)/3.33333333+2)</f>
        <v>8</v>
      </c>
    </row>
    <row r="11" spans="1:25">
      <c r="A11" s="10" t="s">
        <v>14</v>
      </c>
      <c r="B11" s="11">
        <v>8237</v>
      </c>
      <c r="C11" s="11">
        <v>20</v>
      </c>
      <c r="D11" s="11">
        <v>20</v>
      </c>
      <c r="E11" s="15">
        <v>10</v>
      </c>
      <c r="F11" s="15">
        <v>10</v>
      </c>
      <c r="G11" s="15">
        <v>10</v>
      </c>
      <c r="H11" s="15">
        <v>50</v>
      </c>
      <c r="I11" s="15">
        <v>25</v>
      </c>
      <c r="J11" s="15">
        <v>10</v>
      </c>
      <c r="K11" s="15">
        <v>100</v>
      </c>
      <c r="L11" s="15">
        <v>60</v>
      </c>
      <c r="M11" s="15">
        <v>50</v>
      </c>
      <c r="N11" s="24">
        <f>U11/$U$14</f>
        <v>0.7</v>
      </c>
      <c r="O11" s="24">
        <f>V11/$V$14</f>
        <v>0.56666666666666665</v>
      </c>
      <c r="P11" s="24">
        <f>W11/$W$14</f>
        <v>0.52500000000000002</v>
      </c>
      <c r="Q11" s="24">
        <f>(U11/$U$14*0.2)+(V11/$V$14*0.3)+(W11/$W$14*0.5)</f>
        <v>0.57250000000000001</v>
      </c>
      <c r="R11" s="11" t="str">
        <f>CHOOSE((X11+1),"  E","  E","  D-","  D","  D+","  C-","  C","  C+","  B-","  B","  B+","  A-","  A","  A+")</f>
        <v xml:space="preserve">  E</v>
      </c>
      <c r="S11" s="12" t="str">
        <f>CHOOSE((X11+1)," 0.0"," 0.0"," 0.7"," 1.0"," 1.3"," 1.7"," 2.0"," 2.3"," 2.7"," 3.0"," 3.3"," 3.7"," 4.0"," 4.0")</f>
        <v xml:space="preserve"> 0.0</v>
      </c>
      <c r="U11" s="10">
        <f>SUM(C11:G11)</f>
        <v>70</v>
      </c>
      <c r="V11" s="11">
        <f>SUM(H11:J11)</f>
        <v>85</v>
      </c>
      <c r="W11" s="12">
        <f>SUM(K11:M11)</f>
        <v>210</v>
      </c>
      <c r="X11" s="11">
        <f>INT((Q11*100-60)/3.33333333+2)</f>
        <v>1</v>
      </c>
      <c r="Y11" s="12">
        <f>INT((Q11*100-60)/3.33333333+2)</f>
        <v>1</v>
      </c>
    </row>
    <row r="12" spans="1:25">
      <c r="A12" s="13" t="s">
        <v>22</v>
      </c>
      <c r="B12" s="5">
        <v>5431</v>
      </c>
      <c r="C12" s="5">
        <v>1</v>
      </c>
      <c r="D12" s="5">
        <v>2</v>
      </c>
      <c r="E12" s="5">
        <v>3</v>
      </c>
      <c r="F12" s="5">
        <v>5</v>
      </c>
      <c r="G12" s="5">
        <v>8</v>
      </c>
      <c r="H12" s="5">
        <v>13</v>
      </c>
      <c r="I12" s="5">
        <v>21</v>
      </c>
      <c r="J12" s="5">
        <v>34</v>
      </c>
      <c r="K12" s="5">
        <v>55</v>
      </c>
      <c r="L12" s="5">
        <v>89</v>
      </c>
      <c r="M12" s="5">
        <v>144</v>
      </c>
      <c r="N12" s="25">
        <f>U12/$U$14</f>
        <v>0.19</v>
      </c>
      <c r="O12" s="25">
        <f>V12/$V$14</f>
        <v>0.45333333333333331</v>
      </c>
      <c r="P12" s="25">
        <f>W12/$W$14</f>
        <v>0.72</v>
      </c>
      <c r="Q12" s="25">
        <f>(U12/$U$14*0.2)+(V12/$V$14*0.3)+(W12/$W$14*0.5)</f>
        <v>0.53400000000000003</v>
      </c>
      <c r="R12" s="5" t="str">
        <f>CHOOSE((X12+1),"  E","  E","  D-","  D","  D+","  C-","  C","  C+","  B-","  B","  B+","  A-","  A","  A+")</f>
        <v xml:space="preserve">  E</v>
      </c>
      <c r="S12" s="14" t="str">
        <f>CHOOSE((X12+1)," 0.0"," 0.0"," 0.7"," 1.0"," 1.3"," 1.7"," 2.0"," 2.3"," 2.7"," 3.0"," 3.3"," 3.7"," 4.0"," 4.0")</f>
        <v xml:space="preserve"> 0.0</v>
      </c>
      <c r="U12" s="13">
        <f>SUM(C12:G12)</f>
        <v>19</v>
      </c>
      <c r="V12" s="5">
        <f>SUM(H12:J12)</f>
        <v>68</v>
      </c>
      <c r="W12" s="14">
        <f>SUM(K12:M12)</f>
        <v>288</v>
      </c>
      <c r="X12" s="5">
        <f>INT((Q12*100-60)/3.33333333+2)</f>
        <v>0</v>
      </c>
      <c r="Y12" s="14">
        <f>INT((Q12*100-60)/3.33333333+2)</f>
        <v>0</v>
      </c>
    </row>
    <row r="13" spans="1:25">
      <c r="A13" s="10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24"/>
      <c r="O13" s="24"/>
      <c r="P13" s="24"/>
      <c r="Q13" s="24"/>
      <c r="R13" s="11"/>
      <c r="S13" s="12"/>
      <c r="U13" s="10"/>
      <c r="V13" s="11"/>
      <c r="W13" s="11"/>
      <c r="X13" s="11"/>
      <c r="Y13" s="12"/>
    </row>
    <row r="14" spans="1:25">
      <c r="A14" s="3" t="s">
        <v>21</v>
      </c>
      <c r="B14" s="4"/>
      <c r="C14" s="4">
        <v>20</v>
      </c>
      <c r="D14" s="4">
        <v>20</v>
      </c>
      <c r="E14" s="4">
        <v>20</v>
      </c>
      <c r="F14" s="4">
        <v>20</v>
      </c>
      <c r="G14" s="4">
        <v>20</v>
      </c>
      <c r="H14" s="4">
        <v>50</v>
      </c>
      <c r="I14" s="4">
        <v>50</v>
      </c>
      <c r="J14" s="4">
        <v>50</v>
      </c>
      <c r="K14" s="4">
        <v>100</v>
      </c>
      <c r="L14" s="4">
        <v>100</v>
      </c>
      <c r="M14" s="4">
        <v>200</v>
      </c>
      <c r="N14" s="23">
        <f>U14/$U$14</f>
        <v>1</v>
      </c>
      <c r="O14" s="23">
        <f>V14/$V$14</f>
        <v>1</v>
      </c>
      <c r="P14" s="23">
        <f>W14/$W$14</f>
        <v>1</v>
      </c>
      <c r="Q14" s="23">
        <f>(U14/$U$14*0.2)+(V14/$V$14*0.3)+(W14/$W$14*0.5)</f>
        <v>1</v>
      </c>
      <c r="R14" s="4"/>
      <c r="S14" s="6"/>
      <c r="U14" s="3">
        <f>SUM(C14:G14)</f>
        <v>100</v>
      </c>
      <c r="V14" s="4">
        <f>SUM(H14:J14)</f>
        <v>150</v>
      </c>
      <c r="W14" s="6">
        <f>SUM(K14:M14)</f>
        <v>400</v>
      </c>
      <c r="X14" s="5"/>
      <c r="Y14" s="14"/>
    </row>
  </sheetData>
  <sortState ref="A3:Y12">
    <sortCondition descending="1" ref="Q3:Q1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Brigham Young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Teancum Besendorfer</dc:creator>
  <cp:lastModifiedBy>Teancum Besendorfer</cp:lastModifiedBy>
  <dcterms:created xsi:type="dcterms:W3CDTF">2013-11-07T05:49:56Z</dcterms:created>
  <dcterms:modified xsi:type="dcterms:W3CDTF">2013-11-07T07:09:51Z</dcterms:modified>
</cp:coreProperties>
</file>